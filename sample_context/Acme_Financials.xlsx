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Headcount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Acme Corporation — Management accounts</t>
        </is>
      </c>
    </row>
    <row r="2">
      <c r="A2" s="2" t="inlineStr">
        <is>
          <t>$ thousands, unaudited. Fiscal year ends 31 March.</t>
        </is>
      </c>
    </row>
    <row r="4">
      <c r="B4" s="3" t="inlineStr">
        <is>
          <t>FY25 actual</t>
        </is>
      </c>
      <c r="G4" t="inlineStr">
        <is>
          <t>FY26 plan</t>
        </is>
      </c>
    </row>
    <row r="5">
      <c r="A5" s="4" t="inlineStr">
        <is>
          <t>Line item</t>
        </is>
      </c>
      <c r="B5" s="4" t="inlineStr">
        <is>
          <t>Q1</t>
        </is>
      </c>
      <c r="C5" s="4" t="inlineStr">
        <is>
          <t>Q2</t>
        </is>
      </c>
      <c r="D5" s="4" t="inlineStr">
        <is>
          <t>Q3</t>
        </is>
      </c>
      <c r="E5" s="4" t="inlineStr">
        <is>
          <t>Q4</t>
        </is>
      </c>
      <c r="F5" s="4" t="inlineStr">
        <is>
          <t>Total</t>
        </is>
      </c>
      <c r="G5" s="4" t="inlineStr">
        <is>
          <t>Plan</t>
        </is>
      </c>
    </row>
    <row r="6">
      <c r="A6" t="inlineStr">
        <is>
          <t>Revenue</t>
        </is>
      </c>
      <c r="B6" t="n">
        <v>12400</v>
      </c>
      <c r="C6" t="n">
        <v>13150</v>
      </c>
      <c r="D6" t="n">
        <v>14020</v>
      </c>
      <c r="E6" t="n">
        <v>15310</v>
      </c>
      <c r="F6">
        <f>SUM(B6:E6)</f>
        <v>54880</v>
      </c>
      <c r="G6" t="n">
        <v>68500</v>
      </c>
    </row>
    <row r="7">
      <c r="A7" t="inlineStr">
        <is>
          <t>COGS</t>
        </is>
      </c>
      <c r="B7" t="n">
        <v>4340</v>
      </c>
      <c r="C7" t="n">
        <v>4602</v>
      </c>
      <c r="D7" t="n">
        <v>4907</v>
      </c>
      <c r="E7" t="n">
        <v>5359</v>
      </c>
      <c r="F7">
        <f>SUM(B7:E7)</f>
        <v>19208</v>
      </c>
      <c r="G7" t="n">
        <v>23290</v>
      </c>
    </row>
    <row r="8">
      <c r="A8" t="inlineStr">
        <is>
          <t>Gross margin</t>
        </is>
      </c>
      <c r="B8">
        <f>B6-B7</f>
        <v>8060</v>
      </c>
      <c r="C8">
        <f>C6-C7</f>
        <v>8548</v>
      </c>
      <c r="D8">
        <f>D6-D7</f>
        <v>9113</v>
      </c>
      <c r="E8">
        <f>E6-E7</f>
        <v>9951</v>
      </c>
      <c r="F8">
        <f>F6-F7</f>
        <v>35672</v>
      </c>
      <c r="G8">
        <f>G6-G7</f>
        <v>45210</v>
      </c>
    </row>
    <row r="9">
      <c r="A9" t="inlineStr">
        <is>
          <t>Gross margin %</t>
        </is>
      </c>
      <c r="B9">
        <f>B8/B6</f>
        <v/>
      </c>
      <c r="C9">
        <f>C8/C6</f>
        <v/>
      </c>
      <c r="D9">
        <f>D8/D6</f>
        <v/>
      </c>
      <c r="E9">
        <f>E8/E6</f>
        <v/>
      </c>
      <c r="F9">
        <f>F8/F6</f>
        <v/>
      </c>
      <c r="G9">
        <f>G8/G6</f>
        <v/>
      </c>
    </row>
    <row r="10">
      <c r="A10" t="inlineStr">
        <is>
          <t>Sales &amp; marketing</t>
        </is>
      </c>
      <c r="B10" t="n">
        <v>3100</v>
      </c>
      <c r="C10" t="n">
        <v>3250</v>
      </c>
      <c r="D10" t="n">
        <v>3400</v>
      </c>
      <c r="E10" t="n">
        <v>3600</v>
      </c>
      <c r="F10">
        <f>SUM(B10:E10)</f>
        <v>13350</v>
      </c>
      <c r="G10" t="n">
        <v>16000</v>
      </c>
    </row>
    <row r="11">
      <c r="A11" t="inlineStr">
        <is>
          <t>Research &amp; development</t>
        </is>
      </c>
      <c r="B11" t="n">
        <v>2480</v>
      </c>
      <c r="C11" t="n">
        <v>2560</v>
      </c>
      <c r="D11" t="n">
        <v>2640</v>
      </c>
      <c r="E11" t="n">
        <v>2720</v>
      </c>
      <c r="F11">
        <f>SUM(B11:E11)</f>
        <v>10400</v>
      </c>
      <c r="G11" t="n">
        <v>12400</v>
      </c>
    </row>
    <row r="12">
      <c r="A12" t="inlineStr">
        <is>
          <t>General &amp; administrative</t>
        </is>
      </c>
      <c r="B12" t="n">
        <v>1240</v>
      </c>
      <c r="C12" t="n">
        <v>1270</v>
      </c>
      <c r="D12" t="n">
        <v>1300</v>
      </c>
      <c r="E12" t="n">
        <v>1340</v>
      </c>
      <c r="F12">
        <f>SUM(B12:E12)</f>
        <v>5150</v>
      </c>
      <c r="G12" t="n">
        <v>6100</v>
      </c>
    </row>
    <row r="13">
      <c r="A13" s="4" t="inlineStr">
        <is>
          <t>Total opex</t>
        </is>
      </c>
      <c r="B13">
        <f>SUM(B10:B12)</f>
        <v>6820</v>
      </c>
      <c r="C13">
        <f>SUM(C10:C12)</f>
        <v>7080</v>
      </c>
      <c r="D13">
        <f>SUM(D10:D12)</f>
        <v>7340</v>
      </c>
      <c r="E13">
        <f>SUM(E10:E12)</f>
        <v>7660</v>
      </c>
      <c r="F13">
        <f>SUM(F10:F12)</f>
        <v>28900</v>
      </c>
      <c r="G13">
        <f>SUM(G10:G12)</f>
        <v>34500</v>
      </c>
    </row>
    <row r="14">
      <c r="A14" s="4" t="inlineStr">
        <is>
          <t>EBITDA</t>
        </is>
      </c>
      <c r="B14">
        <f>B8-B13</f>
        <v>1240</v>
      </c>
      <c r="C14">
        <f>C8-C13</f>
        <v>1468</v>
      </c>
      <c r="D14">
        <f>D8-D13</f>
        <v>1773</v>
      </c>
      <c r="E14">
        <f>E8-E13</f>
        <v>2291</v>
      </c>
      <c r="F14">
        <f>F8-F13</f>
        <v>6772</v>
      </c>
      <c r="G14">
        <f>G8-G13</f>
        <v>10710</v>
      </c>
    </row>
    <row r="15">
      <c r="A15" t="inlineStr">
        <is>
          <t>EBITDA margin %</t>
        </is>
      </c>
      <c r="B15">
        <f>B14/B6</f>
        <v/>
      </c>
      <c r="C15">
        <f>C14/C6</f>
        <v/>
      </c>
      <c r="D15">
        <f>D14/D6</f>
        <v/>
      </c>
      <c r="E15">
        <f>E14/E6</f>
        <v/>
      </c>
      <c r="F15">
        <f>F14/F6</f>
        <v/>
      </c>
      <c r="G15">
        <f>G14/G6</f>
        <v/>
      </c>
    </row>
  </sheetData>
  <mergeCells count="2">
    <mergeCell ref="B4:F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Headcount plan — FY26 H1 (FTE at month end)</t>
        </is>
      </c>
    </row>
    <row r="3">
      <c r="A3" s="4" t="inlineStr">
        <is>
          <t>Department</t>
        </is>
      </c>
      <c r="B3" s="4" t="inlineStr">
        <is>
          <t>Jan</t>
        </is>
      </c>
      <c r="C3" s="4" t="inlineStr">
        <is>
          <t>Feb</t>
        </is>
      </c>
      <c r="D3" s="4" t="inlineStr">
        <is>
          <t>Mar</t>
        </is>
      </c>
      <c r="E3" s="4" t="inlineStr">
        <is>
          <t>Apr</t>
        </is>
      </c>
      <c r="F3" s="4" t="inlineStr">
        <is>
          <t>May</t>
        </is>
      </c>
      <c r="G3" s="4" t="inlineStr">
        <is>
          <t>Jun</t>
        </is>
      </c>
    </row>
    <row r="4">
      <c r="A4" t="inlineStr">
        <is>
          <t>Engineering</t>
        </is>
      </c>
      <c r="B4" t="n">
        <v>48</v>
      </c>
      <c r="C4" t="n">
        <v>50</v>
      </c>
      <c r="D4" t="n">
        <v>52</v>
      </c>
      <c r="E4" t="n">
        <v>55</v>
      </c>
      <c r="F4" t="n">
        <v>57</v>
      </c>
      <c r="G4" t="n">
        <v>60</v>
      </c>
    </row>
    <row r="5">
      <c r="A5" t="inlineStr">
        <is>
          <t>Sales</t>
        </is>
      </c>
      <c r="B5" t="n">
        <v>32</v>
      </c>
      <c r="C5" t="n">
        <v>34</v>
      </c>
      <c r="D5" t="n">
        <v>36</v>
      </c>
      <c r="E5" t="n">
        <v>38</v>
      </c>
      <c r="F5" t="n">
        <v>40</v>
      </c>
      <c r="G5" t="n">
        <v>42</v>
      </c>
    </row>
    <row r="6">
      <c r="A6" t="inlineStr">
        <is>
          <t>Marketing</t>
        </is>
      </c>
      <c r="B6" t="n">
        <v>12</v>
      </c>
      <c r="C6" t="n">
        <v>12</v>
      </c>
      <c r="D6" t="n">
        <v>13</v>
      </c>
      <c r="E6" t="n">
        <v>14</v>
      </c>
      <c r="F6" t="n">
        <v>14</v>
      </c>
      <c r="G6" t="n">
        <v>15</v>
      </c>
    </row>
    <row r="7">
      <c r="A7" t="inlineStr">
        <is>
          <t>Customer Success</t>
        </is>
      </c>
      <c r="B7" t="n">
        <v>18</v>
      </c>
      <c r="C7" t="n">
        <v>19</v>
      </c>
      <c r="D7" t="n">
        <v>20</v>
      </c>
      <c r="E7" t="n">
        <v>21</v>
      </c>
      <c r="F7" t="n">
        <v>22</v>
      </c>
      <c r="G7" t="n">
        <v>24</v>
      </c>
    </row>
    <row r="8">
      <c r="A8" t="inlineStr">
        <is>
          <t>G&amp;A</t>
        </is>
      </c>
      <c r="B8" t="n">
        <v>9</v>
      </c>
      <c r="C8" t="n">
        <v>9</v>
      </c>
      <c r="D8" t="n">
        <v>10</v>
      </c>
      <c r="E8" t="n">
        <v>10</v>
      </c>
      <c r="F8" t="n">
        <v>11</v>
      </c>
      <c r="G8" t="n">
        <v>11</v>
      </c>
    </row>
    <row r="9">
      <c r="A9" s="4" t="inlineStr">
        <is>
          <t>Total</t>
        </is>
      </c>
      <c r="B9">
        <f>SUM(B4:B8)</f>
        <v>119</v>
      </c>
      <c r="C9">
        <f>SUM(C4:C8)</f>
        <v>124</v>
      </c>
      <c r="D9">
        <f>SUM(D4:D8)</f>
        <v>131</v>
      </c>
      <c r="E9">
        <f>SUM(E4:E8)</f>
        <v>138</v>
      </c>
      <c r="F9">
        <f>SUM(F4:F8)</f>
        <v>144</v>
      </c>
      <c r="G9">
        <f>SUM(G4:G8)</f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F15"/>
  <sheetViews>
    <sheetView workbookViewId="0">
      <selection activeCell="A1" sqref="A1"/>
    </sheetView>
  </sheetViews>
  <sheetFormatPr baseColWidth="8" defaultRowHeight="15"/>
  <cols>
    <col width="18" customWidth="1" min="3" max="3"/>
  </cols>
  <sheetData>
    <row r="3">
      <c r="C3" s="4" t="inlineStr">
        <is>
          <t>Revenue split — supporting detail</t>
        </is>
      </c>
    </row>
    <row r="5">
      <c r="C5" s="4" t="inlineStr">
        <is>
          <t>Region</t>
        </is>
      </c>
      <c r="D5" s="4" t="inlineStr">
        <is>
          <t>FY25 revenue</t>
        </is>
      </c>
      <c r="E5" s="4" t="inlineStr">
        <is>
          <t>FY26 plan</t>
        </is>
      </c>
      <c r="F5" s="4" t="inlineStr">
        <is>
          <t>Customers</t>
        </is>
      </c>
    </row>
    <row r="6">
      <c r="C6" t="inlineStr">
        <is>
          <t>North America</t>
        </is>
      </c>
      <c r="D6" t="n">
        <v>30184</v>
      </c>
      <c r="E6" t="n">
        <v>37675</v>
      </c>
      <c r="F6" t="n">
        <v>96</v>
      </c>
    </row>
    <row r="7">
      <c r="C7" t="inlineStr">
        <is>
          <t>EMEA</t>
        </is>
      </c>
      <c r="D7" t="n">
        <v>16464</v>
      </c>
      <c r="E7" t="n">
        <v>20550</v>
      </c>
      <c r="F7" t="n">
        <v>58</v>
      </c>
    </row>
    <row r="8">
      <c r="C8" t="inlineStr">
        <is>
          <t>APAC</t>
        </is>
      </c>
      <c r="D8" t="n">
        <v>6036</v>
      </c>
      <c r="E8" t="n">
        <v>7535</v>
      </c>
      <c r="F8" t="n">
        <v>31</v>
      </c>
    </row>
    <row r="9">
      <c r="C9" t="inlineStr">
        <is>
          <t>LATAM</t>
        </is>
      </c>
      <c r="D9" t="n">
        <v>2196</v>
      </c>
      <c r="E9" t="n">
        <v>2740</v>
      </c>
      <c r="F9" t="n">
        <v>15</v>
      </c>
    </row>
    <row r="12">
      <c r="C12" s="4" t="inlineStr">
        <is>
          <t>Segment</t>
        </is>
      </c>
      <c r="D12" s="4" t="inlineStr">
        <is>
          <t>FY25 revenue</t>
        </is>
      </c>
      <c r="E12" s="4" t="inlineStr">
        <is>
          <t>Logos</t>
        </is>
      </c>
    </row>
    <row r="13">
      <c r="C13" t="inlineStr">
        <is>
          <t>Enterprise</t>
        </is>
      </c>
      <c r="D13" t="n">
        <v>32928</v>
      </c>
      <c r="E13" t="n">
        <v>44</v>
      </c>
    </row>
    <row r="14">
      <c r="C14" t="inlineStr">
        <is>
          <t>Mid-market</t>
        </is>
      </c>
      <c r="D14" t="n">
        <v>16464</v>
      </c>
      <c r="E14" t="n">
        <v>71</v>
      </c>
    </row>
    <row r="15">
      <c r="C15" t="inlineStr">
        <is>
          <t>SMB</t>
        </is>
      </c>
      <c r="D15" t="n">
        <v>5488</v>
      </c>
      <c r="E1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2026-09-18T15:38:44Z</dcterms:created>
  <dcterms:modified xmlns:dcterms="http://purl.org/dc/terms/" xmlns:xsi="http://www.w3.org/2001/XMLSchema-instance" xsi:type="dcterms:W3CDTF">2026-09-18T15:38:44Z</dcterms:modified>
</cp:coreProperties>
</file>